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6fa13d4b9343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量数据" sheetId="1" r:id="R08d7c4c094be46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_);[Red]\(0.00\)"/>
  </x:numFmts>
  <x:fonts count="3">
    <x:font>
      <x:sz val="11"/>
      <x:name val="Carlito"/>
    </x:font>
    <x:font>
      <x:sz val="11"/>
      <x:color theme="1"/>
      <x:name val="等线"/>
      <x:family val="2"/>
      <x:scheme val="minor"/>
    </x:font>
    <x:font>
      <x:sz val="11"/>
      <x:name val="等线"/>
      <x:family val="3"/>
      <x:scheme val="minor"/>
    </x:font>
  </x:fonts>
  <x:fills count="13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theme="7" tint="0.79998"/>
      </x:patternFill>
    </x:fill>
    <x:fill>
      <x:patternFill patternType="solid">
        <x:fgColor rgb="FFFFF2CC"/>
      </x:patternFill>
    </x:fill>
    <x:fill>
      <x:patternFill patternType="solid">
        <x:fgColor rgb="FFFFFF00"/>
      </x:patternFill>
    </x:fill>
    <x:fill>
      <x:patternFill patternType="solid">
        <x:fgColor rgb="FFFFFF00"/>
      </x:patternFill>
    </x:fill>
    <x:fill>
      <x:patternFill patternType="solid">
        <x:fgColor theme="5" tint="0.79998"/>
      </x:patternFill>
    </x:fill>
    <x:fill>
      <x:patternFill patternType="solid">
        <x:fgColor rgb="FFFBE5D6"/>
      </x:patternFill>
    </x:fill>
    <x:fill>
      <x:patternFill patternType="solid">
        <x:fgColor theme="9" tint="0.79998"/>
      </x:patternFill>
    </x:fill>
    <x:fill>
      <x:patternFill patternType="solid">
        <x:fgColor rgb="FFE2F0D9"/>
      </x:patternFill>
    </x:fill>
    <x:fill>
      <x:patternFill patternType="solid">
        <x:fgColor theme="4" tint="0.79998"/>
      </x:patternFill>
    </x:fill>
    <x:fill>
      <x:patternFill patternType="solid">
        <x:fgColor rgb="FFDEEBF7"/>
      </x:patternFill>
    </x:fill>
  </x:fills>
  <x:borders count="1">
    <x:border>
      <x:left/>
      <x:right/>
      <x:top/>
      <x:bottom/>
      <x:diagonal/>
    </x:border>
  </x:borders>
  <x:cellStyleXfs count="3">
    <x:xf numFmtId="0" fontId="0" fillId="0" borderId="0"/>
    <x:xf numFmtId="0" fontId="1" fillId="0" borderId="0"/>
    <x:xf numFmtId="43" fontId="1" fillId="0" borderId="0" applyAlignment="1">
      <x:alignment vertical="center"/>
    </x:xf>
  </x:cellStyleXfs>
  <x:cellXfs count="36">
    <x:xf numFmtId="0" fontId="0" fillId="0" borderId="0" xfId="0"/>
    <x:xf numFmtId="0" fontId="1" fillId="0" borderId="0" xfId="1" applyAlignment="1">
      <x:alignment horizontal="center"/>
    </x:xf>
    <x:xf numFmtId="0" fontId="1" fillId="2" borderId="0" xfId="0" applyNumberFormat="1" applyFont="1" applyFill="1" applyBorder="1" applyAlignment="1">
      <x:alignment horizontal="center"/>
    </x:xf>
    <x:xf numFmtId="49" fontId="1" fillId="0" borderId="0" xfId="2" applyAlignment="1">
      <x:alignment horizontal="center"/>
    </x:xf>
    <x:xf numFmtId="49" fontId="1" fillId="2" borderId="0" xfId="0" applyNumberFormat="1" applyFont="1" applyFill="1" applyBorder="1" applyAlignment="1">
      <x:alignment horizontal="center"/>
    </x:xf>
    <x:xf numFmtId="0" fontId="1" fillId="3" borderId="0" xfId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0" fontId="1" fillId="0" borderId="0" xfId="1"/>
    <x:xf numFmtId="0" fontId="1" fillId="4" borderId="0" xfId="0" applyNumberFormat="1" applyFont="1" applyFill="1" applyBorder="1"/>
    <x:xf numFmtId="0" fontId="1" fillId="5" borderId="0" xfId="1"/>
    <x:xf numFmtId="0" fontId="1" fillId="6" borderId="0" xfId="0" applyNumberFormat="1" applyFont="1" applyFill="1" applyBorder="1"/>
    <x:xf numFmtId="0" fontId="1" fillId="7" borderId="0" xfId="1" applyAlignment="1">
      <x:alignment horizontal="center"/>
    </x:xf>
    <x:xf numFmtId="0" fontId="1" fillId="8" borderId="0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/>
    <x:xf numFmtId="0" fontId="1" fillId="2" borderId="0" xfId="0" applyNumberFormat="1" applyFont="1" applyFill="1" applyBorder="1"/>
    <x:xf numFmtId="0" fontId="1" fillId="9" borderId="0" xfId="1" applyAlignment="1">
      <x:alignment horizontal="center"/>
    </x:xf>
    <x:xf numFmtId="0" fontId="1" fillId="10" borderId="0" xfId="0" applyNumberFormat="1" applyFont="1" applyFill="1" applyBorder="1" applyAlignment="1">
      <x:alignment horizontal="center"/>
    </x:xf>
    <x:xf numFmtId="0" fontId="1" fillId="10" borderId="0" xfId="0" applyNumberFormat="1" applyFont="1" applyFill="1" applyBorder="1"/>
    <x:xf numFmtId="0" fontId="2" fillId="5" borderId="0" xfId="1"/>
    <x:xf numFmtId="0" fontId="2" fillId="6" borderId="0" xfId="0" applyNumberFormat="1" applyFont="1" applyFill="1" applyBorder="1"/>
    <x:xf numFmtId="0" fontId="1" fillId="11" borderId="0" xfId="1" applyAlignment="1">
      <x:alignment horizontal="center"/>
    </x:xf>
    <x:xf numFmtId="0" fontId="1" fillId="12" borderId="0" xfId="0" applyNumberFormat="1" applyFont="1" applyFill="1" applyBorder="1" applyAlignment="1">
      <x:alignment horizontal="center"/>
    </x:xf>
    <x:xf numFmtId="0" fontId="1" fillId="12" borderId="0" xfId="0" applyNumberFormat="1" applyFont="1" applyFill="1" applyBorder="1"/>
    <x:xf numFmtId="200" fontId="1" fillId="0" borderId="0" xfId="1" applyAlignment="1">
      <x:alignment horizontal="center"/>
    </x:xf>
    <x:xf numFmtId="200" fontId="1" fillId="2" borderId="0" xfId="0" applyNumberFormat="1" applyFont="1" applyFill="1" applyBorder="1" applyAlignment="1">
      <x:alignment horizontal="center"/>
    </x:xf>
    <x:xf numFmtId="200" fontId="1" fillId="11" borderId="0" xfId="1" applyAlignment="1">
      <x:alignment horizontal="center"/>
    </x:xf>
    <x:xf numFmtId="200" fontId="1" fillId="1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10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wrapText="1"/>
    </x:xf>
    <x:xf numFmtId="0" fontId="1" fillId="12" borderId="0" xfId="0" applyNumberFormat="1" applyFont="1" applyFill="1" applyBorder="1" applyAlignment="1">
      <x:alignment horizontal="center" wrapText="1"/>
    </x:xf>
    <x:xf numFmtId="200" fontId="1" fillId="2" borderId="0" xfId="0" applyNumberFormat="1" applyFont="1" applyFill="1" applyBorder="1" applyAlignment="1">
      <x:alignment horizontal="center" wrapText="1"/>
    </x:xf>
    <x:xf numFmtId="200" fontId="1" fillId="1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6ec6e55571481e" /><Relationship Type="http://schemas.openxmlformats.org/officeDocument/2006/relationships/theme" Target="/xl/theme/theme1.xml" Id="Rad8b4a81a24f4343" /><Relationship Type="http://schemas.openxmlformats.org/officeDocument/2006/relationships/sharedStrings" Target="/xl/sharedStrings.xml" Id="Rb433465d1db243f4" /><Relationship Type="http://schemas.openxmlformats.org/officeDocument/2006/relationships/worksheet" Target="/xl/worksheets/sheet1.xml" Id="R08d7c4c094be46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20" hidden="0" customWidth="1"/>
    <x:col min="7" max="7" width="12" hidden="0" customWidth="1"/>
    <x:col min="8" max="8" width="20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3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44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20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20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20" hidden="0" customWidth="1"/>
    <x:col min="57" max="57" width="12" hidden="0" customWidth="1"/>
    <x:col min="58" max="58" width="12" hidden="0" customWidth="1"/>
    <x:col min="59" max="59" width="20" hidden="0" customWidth="1"/>
  </x:cols>
  <x:sheetData>
    <x:row r="1" ht="42" customHeight="1">
      <x:c r="A1" s="27" t="str">
        <x:v>编号</x:v>
      </x:c>
      <x:c r="B1" s="27" t="str">
        <x:v>喷注盘编号</x:v>
      </x:c>
      <x:c r="C1" s="27" t="str">
        <x:v>变送器编号</x:v>
      </x:c>
      <x:c r="D1" s="27" t="str">
        <x:v>环境气体</x:v>
      </x:c>
      <x:c r="E1" s="28" t="str">
        <x:v>ExpIntStart</x:v>
      </x:c>
      <x:c r="F1" s="28" t="str">
        <x:v>ExpIntStartFrame</x:v>
      </x:c>
      <x:c r="G1" s="28" t="str">
        <x:v>ExpIntEnd</x:v>
      </x:c>
      <x:c r="H1" s="28" t="str">
        <x:v>ExpIntEndFrame</x:v>
      </x:c>
      <x:c r="I1" s="29" t="str">
        <x:v>U</x:v>
      </x:c>
      <x:c r="J1" s="27" t="str">
        <x:v>DU</x:v>
      </x:c>
      <x:c r="K1" s="29" t="str">
        <x:v>Pc</x:v>
      </x:c>
      <x:c r="L1" s="27" t="str">
        <x:v>DPc</x:v>
      </x:c>
      <x:c r="M1" s="28" t="str">
        <x:v>CdIntStart</x:v>
      </x:c>
      <x:c r="N1" s="28" t="str">
        <x:v>CdIntEnd</x:v>
      </x:c>
      <x:c r="O1" s="30" t="str">
        <x:v>cd</x:v>
      </x:c>
      <x:c r="P1" s="27" t="str">
        <x:v>Dcd</x:v>
      </x:c>
      <x:c r="Q1" s="30" t="str">
        <x:v>Pccd</x:v>
      </x:c>
      <x:c r="R1" s="27" t="str">
        <x:v>DPccd</x:v>
      </x:c>
      <x:c r="S1" s="30" t="str">
        <x:v>DPcd</x:v>
      </x:c>
      <x:c r="T1" s="27" t="str">
        <x:v>DDPcd</x:v>
      </x:c>
      <x:c r="U1" s="27" t="str">
        <x:v>真实DP</x:v>
      </x:c>
      <x:c r="V1" s="27" t="str">
        <x:v>真实K</x:v>
      </x:c>
      <x:c r="W1" s="27" t="str">
        <x:v>K</x:v>
      </x:c>
      <x:c r="X1" s="27" t="str">
        <x:v>Q2</x:v>
      </x:c>
      <x:c r="Y1" s="27" t="str">
        <x:v>Q2*</x:v>
      </x:c>
      <x:c r="Z1" s="27" t="str">
        <x:v>cd*</x:v>
      </x:c>
      <x:c r="AA1" s="27" t="str">
        <x:v>U*</x:v>
      </x:c>
      <x:c r="AB1" s="27" t="str">
        <x:v>图像问题</x:v>
      </x:c>
      <x:c r="AC1" s="27" t="str">
        <x:v>备注</x:v>
      </x:c>
      <x:c r="AD1" s="27" t="str">
        <x:v>代表图</x:v>
      </x:c>
      <x:c r="AE1" s="27" t="str">
        <x:v>模式</x:v>
      </x:c>
      <x:c r="AF1" s="31" t="str">
        <x:v>XLeft</x:v>
      </x:c>
      <x:c r="AG1" s="31" t="str">
        <x:v>XRight</x:v>
      </x:c>
      <x:c r="AH1" s="31" t="str">
        <x:v>Y</x:v>
      </x:c>
      <x:c r="AI1" s="31" t="str">
        <x:v>Rmax</x:v>
      </x:c>
      <x:c r="AJ1" s="31" t="str">
        <x:v>ThetaLeft</x:v>
      </x:c>
      <x:c r="AK1" s="31" t="str">
        <x:v>ThetaRight</x:v>
      </x:c>
      <x:c r="AL1" s="31" t="str">
        <x:v>window_length</x:v>
      </x:c>
      <x:c r="AM1" s="31" t="str">
        <x:v>polyorder</x:v>
      </x:c>
      <x:c r="AN1" s="31" t="str">
        <x:v>NumAvgL</x:v>
      </x:c>
      <x:c r="AO1" s="31" t="str">
        <x:v>RStartL</x:v>
      </x:c>
      <x:c r="AP1" s="31" t="str">
        <x:v>NumAvgR</x:v>
      </x:c>
      <x:c r="AQ1" s="31" t="str">
        <x:v>RStartR</x:v>
      </x:c>
      <x:c r="AR1" s="31" t="str">
        <x:v>ThresRatioL</x:v>
      </x:c>
      <x:c r="AS1" s="31" t="str">
        <x:v>ThresRatioR</x:v>
      </x:c>
      <x:c r="AT1" s="31" t="str">
        <x:v>num_processes</x:v>
      </x:c>
      <x:c r="AU1" s="31" t="str">
        <x:v>compute_time</x:v>
      </x:c>
      <x:c r="AV1" s="32" t="str">
        <x:v>AngleL</x:v>
      </x:c>
      <x:c r="AW1" s="27" t="str">
        <x:v>AngleLStd</x:v>
      </x:c>
      <x:c r="AX1" s="33" t="str">
        <x:v>AngleLRevStd</x:v>
      </x:c>
      <x:c r="AY1" s="32" t="str">
        <x:v>AngleR</x:v>
      </x:c>
      <x:c r="AZ1" s="27" t="str">
        <x:v>AngleRStd</x:v>
      </x:c>
      <x:c r="BA1" s="33" t="str">
        <x:v>AngleRRevStd</x:v>
      </x:c>
      <x:c r="BB1" s="32" t="str">
        <x:v>AtmAngle</x:v>
      </x:c>
      <x:c r="BC1" s="27" t="str">
        <x:v>AtmAngleStd</x:v>
      </x:c>
      <x:c r="BD1" s="33" t="str">
        <x:v>AtmAngleRevStd</x:v>
      </x:c>
      <x:c r="BE1" s="34" t="str">
        <x:v>AngleM</x:v>
      </x:c>
      <x:c r="BF1" s="33" t="str">
        <x:v>AngleMStd</x:v>
      </x:c>
      <x:c r="BG1" s="33" t="str">
        <x:v>AngleMRevStd</x:v>
      </x:c>
    </x:row>
    <x:row r="2" ht="28" customHeight="1">
      <x:c r="A2" s="2"/>
      <x:c r="B2" s="2"/>
      <x:c r="C2" s="2"/>
      <x:c r="D2" s="2"/>
      <x:c r="E2" s="6" t="str">
        <x:v>ms</x:v>
      </x:c>
      <x:c r="F2" s="6" t="str">
        <x:v>帧</x:v>
      </x:c>
      <x:c r="G2" s="6" t="str">
        <x:v>ms</x:v>
      </x:c>
      <x:c r="H2" s="6" t="str">
        <x:v>帧</x:v>
      </x:c>
      <x:c r="I2" s="12" t="str">
        <x:v>m/s</x:v>
      </x:c>
      <x:c r="J2" s="2" t="str">
        <x:v>%</x:v>
      </x:c>
      <x:c r="K2" s="12" t="str">
        <x:v>MPa</x:v>
      </x:c>
      <x:c r="L2" s="2" t="str">
        <x:v>%</x:v>
      </x:c>
      <x:c r="M2" s="6" t="str">
        <x:v>ms</x:v>
      </x:c>
      <x:c r="N2" s="6" t="str">
        <x:v>ms</x:v>
      </x:c>
      <x:c r="O2" s="16" t="n">
        <x:v>1</x:v>
      </x:c>
      <x:c r="P2" s="2" t="str">
        <x:v>%</x:v>
      </x:c>
      <x:c r="Q2" s="16" t="str">
        <x:v>MPa</x:v>
      </x:c>
      <x:c r="R2" s="2" t="str">
        <x:v>%</x:v>
      </x:c>
      <x:c r="S2" s="16" t="str">
        <x:v>MPa</x:v>
      </x:c>
      <x:c r="T2" s="2" t="str">
        <x:v>%</x:v>
      </x:c>
      <x:c r="U2" s="2"/>
      <x:c r="V2" s="2"/>
      <x:c r="W2" s="2"/>
      <x:c r="X2" s="2" t="n">
        <x:v>-0.18</x:v>
      </x:c>
      <x:c r="Y2" s="2"/>
      <x:c r="Z2" s="2"/>
      <x:c r="AA2" s="2"/>
      <x:c r="AB2" s="2"/>
      <x:c r="AC2" s="27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1"/>
      <x:c r="AW2" s="2"/>
      <x:c r="AX2" s="24"/>
      <x:c r="AY2" s="21"/>
      <x:c r="AZ2" s="2"/>
      <x:c r="BA2" s="24"/>
      <x:c r="BB2" s="21"/>
      <x:c r="BC2" s="2"/>
      <x:c r="BD2" s="24"/>
      <x:c r="BE2" s="26"/>
      <x:c r="BF2" s="24"/>
      <x:c r="BG2" s="24"/>
    </x:row>
    <x:row r="3" ht="28" customHeight="1">
      <x:c r="AC3" s="35"/>
    </x:row>
    <x:row r="4" ht="28" customHeight="1">
      <x:c r="AC4" s="35"/>
    </x:row>
    <x:row r="5" ht="28" customHeight="1">
      <x:c r="AC5" s="35"/>
    </x:row>
    <x:row r="6" ht="28" customHeight="1">
      <x:c r="AC6" s="35"/>
    </x:row>
    <x:row r="7" ht="28" customHeight="1">
      <x:c r="AC7" s="35"/>
    </x:row>
    <x:row r="8" ht="28" customHeight="1">
      <x:c r="AC8" s="35"/>
    </x:row>
    <x:row r="9" ht="28" customHeight="1">
      <x:c r="AC9" s="35"/>
    </x:row>
    <x:row r="10" ht="28" customHeight="1">
      <x:c r="AC10" s="35"/>
    </x:row>
    <x:row r="11" ht="28" customHeight="1">
      <x:c r="AC11" s="35"/>
    </x:row>
    <x:row r="12" ht="28" customHeight="1">
      <x:c r="AC12" s="35"/>
    </x:row>
    <x:row r="13" ht="28" customHeight="1">
      <x:c r="AC13" s="35"/>
    </x:row>
    <x:row r="14" ht="28" customHeight="1">
      <x:c r="AC14" s="35"/>
    </x:row>
    <x:row r="15" ht="28" customHeight="1">
      <x:c r="AC15" s="35"/>
    </x:row>
    <x:row r="16" ht="28" customHeight="1">
      <x:c r="AC16" s="35"/>
    </x:row>
    <x:row r="17" ht="28" customHeight="1">
      <x:c r="AC17" s="35"/>
    </x:row>
    <x:row r="18" ht="28" customHeight="1">
      <x:c r="AC18" s="35"/>
    </x:row>
    <x:row r="19" ht="28" customHeight="1">
      <x:c r="AC19" s="35"/>
    </x:row>
    <x:row r="20" ht="28" customHeight="1">
      <x:c r="AC20" s="35"/>
    </x:row>
    <x:row r="21" ht="28" customHeight="1">
      <x:c r="AC21" s="35"/>
    </x:row>
    <x:row r="22" ht="28" customHeight="1">
      <x:c r="AC22" s="35"/>
    </x:row>
    <x:row r="23" ht="28" customHeight="1">
      <x:c r="AC23" s="35"/>
    </x:row>
    <x:row r="24" ht="28" customHeight="1">
      <x:c r="AC24" s="35"/>
    </x:row>
    <x:row r="25" ht="28" customHeight="1">
      <x:c r="AC25" s="35"/>
    </x:row>
    <x:row r="26" ht="28" customHeight="1">
      <x:c r="AC26" s="35"/>
    </x:row>
    <x:row r="27" ht="28" customHeight="1">
      <x:c r="AC27" s="35"/>
    </x:row>
    <x:row r="28" ht="28" customHeight="1">
      <x:c r="AC28" s="35"/>
    </x:row>
    <x:row r="29" ht="28" customHeight="1">
      <x:c r="AC29" s="35"/>
    </x:row>
    <x:row r="30" ht="54" customHeight="1">
      <x:c r="A30" s="2" t="n">
        <x:v>29</x:v>
      </x:c>
      <x:c r="B30" s="4" t="str">
        <x:v>6-1-2</x:v>
      </x:c>
      <x:c r="C30" s="2" t="str">
        <x:v>C1MPa-3</x:v>
      </x:c>
      <x:c r="D30" s="2"/>
      <x:c r="E30" s="8" t="n">
        <x:v>525</x:v>
      </x:c>
      <x:c r="F30" s="10" t="n">
        <x:f>E30*40</x:f>
        <x:v>21000</x:v>
      </x:c>
      <x:c r="G30" s="8" t="n">
        <x:v>538</x:v>
      </x:c>
      <x:c r="H30" s="10" t="n">
        <x:f>G30*40</x:f>
        <x:v>21520</x:v>
      </x:c>
      <x:c r="I30" s="13" t="n">
        <x:v>26.19499</x:v>
      </x:c>
      <x:c r="J30" s="14" t="n">
        <x:v>1.71047</x:v>
      </x:c>
      <x:c r="K30" s="13" t="n">
        <x:v>4.99628</x:v>
      </x:c>
      <x:c r="L30" s="14" t="n">
        <x:v>0.1207</x:v>
      </x:c>
      <x:c r="M30" s="8" t="n">
        <x:v>6000</x:v>
      </x:c>
      <x:c r="N30" s="8" t="n">
        <x:v>7000</x:v>
      </x:c>
      <x:c r="O30" s="17" t="n">
        <x:v>0.84635</x:v>
      </x:c>
      <x:c r="P30" s="14" t="n">
        <x:v>1.69888</x:v>
      </x:c>
      <x:c r="Q30" s="17" t="n">
        <x:v>5.06443</x:v>
      </x:c>
      <x:c r="R30" s="14" t="n">
        <x:v>0.79788</x:v>
      </x:c>
      <x:c r="S30" s="17" t="n">
        <x:v>0.44289</x:v>
      </x:c>
      <x:c r="T30" s="14" t="n">
        <x:v>1.71308</x:v>
      </x:c>
      <x:c r="U30" s="10" t="n">
        <x:f>(AA30/Z30)^2*1000/2*0.000001</x:f>
        <x:v>0.4789679803700033</x:v>
      </x:c>
      <x:c r="V30" s="19" t="n">
        <x:f>(U30+K30-3170*0.000001)/U30</x:f>
        <x:v>11.424726087415733</x:v>
      </x:c>
      <x:c r="W30" s="14" t="n">
        <x:f>(S30+Q30-3170*0.000001)/S30</x:f>
        <x:v>12.427803743593218</x:v>
      </x:c>
      <x:c r="X30" s="14" t="n">
        <x:f>O30*PI()/4*0.5075*0.5075*0.000001*SQRT(2*1000*S30*1000000)*1000*2</x:f>
        <x:v>10.190720814760232</x:v>
      </x:c>
      <x:c r="Y30" s="14" t="n">
        <x:f>X30+$X$2</x:f>
        <x:v>10.010720814760232</x:v>
      </x:c>
      <x:c r="Z30" s="14" t="n">
        <x:f>Y30/(PI()/4*0.5075*0.5075*SQRT(2*1000*S30))/2</x:f>
        <x:v>0.8314008121290747</x:v>
      </x:c>
      <x:c r="AA30" s="14" t="n">
        <x:f>I30/O30*Z30</x:f>
        <x:v>25.73230455451408</x:v>
      </x:c>
      <x:c r="AB30" s="14"/>
      <x:c r="AC30" s="27" t="str">
        <x:v>演示处理8000–8019帧；左侧范围保留原始工况记录。</x:v>
      </x:c>
      <x:c r="AD30" s="2"/>
      <x:c r="AE30" s="2"/>
      <x:c r="AF30" s="14" t="n">
        <x:v>277</x:v>
      </x:c>
      <x:c r="AG30" s="14" t="n">
        <x:v>302</x:v>
      </x:c>
      <x:c r="AH30" s="14" t="n">
        <x:v>111</x:v>
      </x:c>
      <x:c r="AI30" s="14" t="n">
        <x:v>250</x:v>
      </x:c>
      <x:c r="AJ30" s="14" t="n">
        <x:v>0</x:v>
      </x:c>
      <x:c r="AK30" s="14" t="n">
        <x:v>1800</x:v>
      </x:c>
      <x:c r="AL30" s="14" t="n">
        <x:v>101</x:v>
      </x:c>
      <x:c r="AM30" s="14" t="n">
        <x:v>1</x:v>
      </x:c>
      <x:c r="AN30" s="14" t="n">
        <x:v>100</x:v>
      </x:c>
      <x:c r="AO30" s="14" t="n">
        <x:v>0</x:v>
      </x:c>
      <x:c r="AP30" s="14" t="n">
        <x:v>100</x:v>
      </x:c>
      <x:c r="AQ30" s="14" t="n">
        <x:v>0</x:v>
      </x:c>
      <x:c r="AR30" s="14" t="n">
        <x:v>0.5</x:v>
      </x:c>
      <x:c r="AS30" s="14" t="n">
        <x:v>0.5</x:v>
      </x:c>
      <x:c r="AT30" s="14"/>
      <x:c r="AU30" s="14"/>
      <x:c r="AV30" s="22"/>
      <x:c r="AW30" s="14"/>
      <x:c r="AX30" s="24"/>
      <x:c r="AY30" s="22"/>
      <x:c r="AZ30" s="14"/>
      <x:c r="BA30" s="24"/>
      <x:c r="BB30" s="22"/>
      <x:c r="BC30" s="14"/>
      <x:c r="BD30" s="24"/>
      <x:c r="BE30" s="22"/>
      <x:c r="BF30" s="14"/>
      <x:c r="BG30" s="24"/>
    </x:row>
  </x:sheetData>
  <x:pageMargins left="0.7" right="0.7" top="0.75" bottom="0.75" header="0.3" footer="0.3"/>
</x:worksheet>
</file>